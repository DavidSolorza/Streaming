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" sheetId="1" r:id="rId4"/>
    <sheet state="visible" name="Combos" sheetId="2" r:id="rId5"/>
  </sheets>
  <definedNames/>
  <calcPr/>
  <extLst>
    <ext uri="GoogleSheetsCustomDataVersion2">
      <go:sheetsCustomData xmlns:go="http://customooxmlschemas.google.com/" r:id="rId6" roundtripDataChecksum="zLcPDvRZtZcfkbhAwY6fuwSsjIRbGLEUFzE23kcpUVw="/>
    </ext>
  </extLst>
</workbook>
</file>

<file path=xl/sharedStrings.xml><?xml version="1.0" encoding="utf-8"?>
<sst xmlns="http://schemas.openxmlformats.org/spreadsheetml/2006/main" count="160" uniqueCount="56">
  <si>
    <t>Plataforma</t>
  </si>
  <si>
    <t>Precio individual (costo)</t>
  </si>
  <si>
    <t>Precio venta (se muestra al público)</t>
  </si>
  <si>
    <t>Precio final final (se muestra al público)</t>
  </si>
  <si>
    <t>Combo #</t>
  </si>
  <si>
    <t>Netflix único</t>
  </si>
  <si>
    <t>Plataforma 1</t>
  </si>
  <si>
    <t>Plataforma 2</t>
  </si>
  <si>
    <t>Plataforma 3</t>
  </si>
  <si>
    <t>Plataforma 4</t>
  </si>
  <si>
    <t>Plataforma 5</t>
  </si>
  <si>
    <t>Precio combo</t>
  </si>
  <si>
    <t>Precio venta (no se muestra al público)</t>
  </si>
  <si>
    <t>Precio final final (Se muestra al público)</t>
  </si>
  <si>
    <t>Netflix original</t>
  </si>
  <si>
    <t>Disney premium</t>
  </si>
  <si>
    <t>29k</t>
  </si>
  <si>
    <t>17k</t>
  </si>
  <si>
    <t>16k</t>
  </si>
  <si>
    <t>Max</t>
  </si>
  <si>
    <t>10k</t>
  </si>
  <si>
    <t>Prime video</t>
  </si>
  <si>
    <t>11k</t>
  </si>
  <si>
    <t>Paramount</t>
  </si>
  <si>
    <t>15k</t>
  </si>
  <si>
    <t>Crunchyroll</t>
  </si>
  <si>
    <t>Plex</t>
  </si>
  <si>
    <t>Vix</t>
  </si>
  <si>
    <t>Canva 1 mes con correo del cliente</t>
  </si>
  <si>
    <t>18k</t>
  </si>
  <si>
    <t>Canva 1 mes</t>
  </si>
  <si>
    <t>Canva 6 meses</t>
  </si>
  <si>
    <t>50k</t>
  </si>
  <si>
    <t>Canva 12 meses</t>
  </si>
  <si>
    <t>80k</t>
  </si>
  <si>
    <t>Capcut</t>
  </si>
  <si>
    <t>22k</t>
  </si>
  <si>
    <t>Gemini</t>
  </si>
  <si>
    <t>Jellyfin</t>
  </si>
  <si>
    <t>Iptv</t>
  </si>
  <si>
    <t>Spotify 1 mes</t>
  </si>
  <si>
    <t>Youtube 1 mes</t>
  </si>
  <si>
    <t>32k</t>
  </si>
  <si>
    <t>23k</t>
  </si>
  <si>
    <t>21k</t>
  </si>
  <si>
    <t>38k</t>
  </si>
  <si>
    <t>12k</t>
  </si>
  <si>
    <t>20k</t>
  </si>
  <si>
    <t>39k</t>
  </si>
  <si>
    <t>37k</t>
  </si>
  <si>
    <t>28k</t>
  </si>
  <si>
    <t>35k</t>
  </si>
  <si>
    <t>27k</t>
  </si>
  <si>
    <t>43k</t>
  </si>
  <si>
    <t>44k</t>
  </si>
  <si>
    <t>42k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</si>
</sst>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6">
    <font>
      <sz val="11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rgb="FF0000FF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0" fillId="0" fontId="2" numFmtId="0" xfId="0" applyFont="1"/>
    <xf borderId="1" fillId="0" fontId="3" numFmtId="0" xfId="0" applyAlignment="1" applyBorder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88"/>
    <col customWidth="1" min="2" max="2" width="25.38"/>
    <col customWidth="1" min="3" max="3" width="35.5"/>
    <col customWidth="1" min="4" max="4" width="36.38"/>
    <col customWidth="1" min="5" max="6" width="6.75"/>
    <col customWidth="1" min="7" max="26" width="11.2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5</v>
      </c>
      <c r="B2" s="4">
        <v>23000.0</v>
      </c>
      <c r="C2" s="5">
        <f t="shared" ref="C2:C20" si="1">B2*1.5</f>
        <v>34500</v>
      </c>
      <c r="D2" s="2" t="s">
        <v>16</v>
      </c>
    </row>
    <row r="3">
      <c r="A3" s="3" t="s">
        <v>14</v>
      </c>
      <c r="B3" s="4">
        <v>13000.0</v>
      </c>
      <c r="C3" s="5">
        <f t="shared" si="1"/>
        <v>19500</v>
      </c>
      <c r="D3" s="2" t="s">
        <v>17</v>
      </c>
    </row>
    <row r="4">
      <c r="A4" s="3" t="s">
        <v>15</v>
      </c>
      <c r="B4" s="4">
        <v>12000.0</v>
      </c>
      <c r="C4" s="5">
        <f t="shared" si="1"/>
        <v>18000</v>
      </c>
      <c r="D4" s="2" t="s">
        <v>18</v>
      </c>
    </row>
    <row r="5">
      <c r="A5" s="3" t="s">
        <v>19</v>
      </c>
      <c r="B5" s="4">
        <v>4000.0</v>
      </c>
      <c r="C5" s="5">
        <f t="shared" si="1"/>
        <v>6000</v>
      </c>
      <c r="D5" s="2" t="s">
        <v>20</v>
      </c>
    </row>
    <row r="6">
      <c r="A6" s="3" t="s">
        <v>21</v>
      </c>
      <c r="B6" s="4">
        <v>5000.0</v>
      </c>
      <c r="C6" s="5">
        <f t="shared" si="1"/>
        <v>7500</v>
      </c>
      <c r="D6" s="2" t="s">
        <v>22</v>
      </c>
    </row>
    <row r="7">
      <c r="A7" s="3" t="s">
        <v>23</v>
      </c>
      <c r="B7" s="4">
        <v>10000.0</v>
      </c>
      <c r="C7" s="5">
        <f t="shared" si="1"/>
        <v>15000</v>
      </c>
      <c r="D7" s="2" t="s">
        <v>24</v>
      </c>
    </row>
    <row r="8">
      <c r="A8" s="3" t="s">
        <v>25</v>
      </c>
      <c r="B8" s="4">
        <v>4000.0</v>
      </c>
      <c r="C8" s="5">
        <f t="shared" si="1"/>
        <v>6000</v>
      </c>
      <c r="D8" s="2" t="s">
        <v>20</v>
      </c>
    </row>
    <row r="9">
      <c r="A9" s="3" t="s">
        <v>26</v>
      </c>
      <c r="B9" s="4">
        <v>4000.0</v>
      </c>
      <c r="C9" s="5">
        <f t="shared" si="1"/>
        <v>6000</v>
      </c>
      <c r="D9" s="2" t="s">
        <v>20</v>
      </c>
    </row>
    <row r="10">
      <c r="A10" s="3" t="s">
        <v>27</v>
      </c>
      <c r="B10" s="4">
        <v>6000.0</v>
      </c>
      <c r="C10" s="5">
        <f t="shared" si="1"/>
        <v>9000</v>
      </c>
      <c r="D10" s="2" t="s">
        <v>22</v>
      </c>
    </row>
    <row r="11">
      <c r="A11" s="3" t="s">
        <v>28</v>
      </c>
      <c r="B11" s="4">
        <v>12000.0</v>
      </c>
      <c r="C11" s="5">
        <f t="shared" si="1"/>
        <v>18000</v>
      </c>
      <c r="D11" s="2" t="s">
        <v>29</v>
      </c>
    </row>
    <row r="12">
      <c r="A12" s="3" t="s">
        <v>30</v>
      </c>
      <c r="B12" s="4">
        <v>10000.0</v>
      </c>
      <c r="C12" s="5">
        <f t="shared" si="1"/>
        <v>15000</v>
      </c>
      <c r="D12" s="2" t="s">
        <v>24</v>
      </c>
    </row>
    <row r="13">
      <c r="A13" s="3" t="s">
        <v>31</v>
      </c>
      <c r="B13" s="4">
        <v>34000.0</v>
      </c>
      <c r="C13" s="5">
        <f t="shared" si="1"/>
        <v>51000</v>
      </c>
      <c r="D13" s="2" t="s">
        <v>32</v>
      </c>
    </row>
    <row r="14">
      <c r="A14" s="3" t="s">
        <v>33</v>
      </c>
      <c r="B14" s="4">
        <v>60000.0</v>
      </c>
      <c r="C14" s="5">
        <f t="shared" si="1"/>
        <v>90000</v>
      </c>
      <c r="D14" s="2" t="s">
        <v>34</v>
      </c>
    </row>
    <row r="15">
      <c r="A15" s="3" t="s">
        <v>35</v>
      </c>
      <c r="B15" s="4">
        <v>15000.0</v>
      </c>
      <c r="C15" s="5">
        <f t="shared" si="1"/>
        <v>22500</v>
      </c>
      <c r="D15" s="2" t="s">
        <v>36</v>
      </c>
    </row>
    <row r="16">
      <c r="A16" s="3" t="s">
        <v>37</v>
      </c>
      <c r="B16" s="4">
        <v>12000.0</v>
      </c>
      <c r="C16" s="5">
        <f t="shared" si="1"/>
        <v>18000</v>
      </c>
      <c r="D16" s="2" t="s">
        <v>29</v>
      </c>
    </row>
    <row r="17">
      <c r="A17" s="3" t="s">
        <v>38</v>
      </c>
      <c r="B17" s="4">
        <v>10000.0</v>
      </c>
      <c r="C17" s="5">
        <f t="shared" si="1"/>
        <v>15000</v>
      </c>
      <c r="D17" s="2" t="s">
        <v>24</v>
      </c>
    </row>
    <row r="18">
      <c r="A18" s="3" t="s">
        <v>39</v>
      </c>
      <c r="B18" s="4">
        <v>10000.0</v>
      </c>
      <c r="C18" s="5">
        <f t="shared" si="1"/>
        <v>15000</v>
      </c>
      <c r="D18" s="2" t="s">
        <v>24</v>
      </c>
    </row>
    <row r="19">
      <c r="A19" s="3" t="s">
        <v>40</v>
      </c>
      <c r="B19" s="4">
        <v>10000.0</v>
      </c>
      <c r="C19" s="5">
        <f t="shared" si="1"/>
        <v>15000</v>
      </c>
      <c r="D19" s="2" t="s">
        <v>24</v>
      </c>
    </row>
    <row r="20">
      <c r="A20" s="3" t="s">
        <v>41</v>
      </c>
      <c r="B20" s="4">
        <v>10000.0</v>
      </c>
      <c r="C20" s="5">
        <f t="shared" si="1"/>
        <v>15000</v>
      </c>
      <c r="D20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7.75"/>
    <col customWidth="1" min="2" max="6" width="15.5"/>
    <col customWidth="1" min="7" max="8" width="11.63"/>
    <col customWidth="1" min="9" max="9" width="6.75"/>
    <col customWidth="1" min="10" max="26" width="11.25"/>
  </cols>
  <sheetData>
    <row r="1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2" t="s">
        <v>13</v>
      </c>
    </row>
    <row r="2">
      <c r="A2" s="3">
        <v>1.0</v>
      </c>
      <c r="B2" s="3" t="s">
        <v>14</v>
      </c>
      <c r="C2" s="3" t="s">
        <v>15</v>
      </c>
      <c r="D2" s="3"/>
      <c r="E2" s="3"/>
      <c r="F2" s="3"/>
      <c r="G2" s="5">
        <f t="array" ref="G2">SUM(IF(B2="",0,IFERROR(INDEX(Precios!$B$2:$B$20,MATCH(B2,Precios!$A$2:$A$20,0)),0)),IF(C2="",0,IFERROR(INDEX(Precios!$B$2:$B$20,MATCH(C2,Precios!$A$2:$A$20,0)),0)),IF(D2="",0,IFERROR(INDEX(Precios!$B$2:$B$20,MATCH(D2,Precios!$A$2:$A$20,0)),0)),IF(E2="",0,IFERROR(INDEX(Precios!$B$2:$B$20,MATCH(E2,Precios!$A$2:$A$20,0)),0)),IF(F2="",0,IFERROR(INDEX(Precios!$B$2:$B$20,MATCH(F2,Precios!$A$2:$A$20,0)),0)))</f>
        <v>25000</v>
      </c>
      <c r="H2" s="6">
        <f t="shared" ref="H2:H29" si="1">G2*1.5*0.85</f>
        <v>31875</v>
      </c>
      <c r="I2" s="2" t="s">
        <v>42</v>
      </c>
    </row>
    <row r="3">
      <c r="A3" s="3">
        <v>2.0</v>
      </c>
      <c r="B3" s="3" t="s">
        <v>14</v>
      </c>
      <c r="C3" s="3" t="s">
        <v>21</v>
      </c>
      <c r="D3" s="3"/>
      <c r="E3" s="3"/>
      <c r="F3" s="3"/>
      <c r="G3" s="5">
        <f t="array" ref="G3">SUM(IF(B3="",0,IFERROR(INDEX(Precios!$B$2:$B$20,MATCH(B3,Precios!$A$2:$A$20,0)),0)),IF(C3="",0,IFERROR(INDEX(Precios!$B$2:$B$20,MATCH(C3,Precios!$A$2:$A$20,0)),0)),IF(D3="",0,IFERROR(INDEX(Precios!$B$2:$B$20,MATCH(D3,Precios!$A$2:$A$20,0)),0)),IF(E3="",0,IFERROR(INDEX(Precios!$B$2:$B$20,MATCH(E3,Precios!$A$2:$A$20,0)),0)),IF(F3="",0,IFERROR(INDEX(Precios!$B$2:$B$20,MATCH(F3,Precios!$A$2:$A$20,0)),0)))</f>
        <v>18000</v>
      </c>
      <c r="H3" s="6">
        <f t="shared" si="1"/>
        <v>22950</v>
      </c>
      <c r="I3" s="2" t="s">
        <v>43</v>
      </c>
    </row>
    <row r="4">
      <c r="A4" s="3">
        <v>3.0</v>
      </c>
      <c r="B4" s="3" t="s">
        <v>14</v>
      </c>
      <c r="C4" s="3" t="s">
        <v>19</v>
      </c>
      <c r="D4" s="3"/>
      <c r="E4" s="3"/>
      <c r="F4" s="3"/>
      <c r="G4" s="5">
        <f t="array" ref="G4">SUM(IF(B4="",0,IFERROR(INDEX(Precios!$B$2:$B$20,MATCH(B4,Precios!$A$2:$A$20,0)),0)),IF(C4="",0,IFERROR(INDEX(Precios!$B$2:$B$20,MATCH(C4,Precios!$A$2:$A$20,0)),0)),IF(D4="",0,IFERROR(INDEX(Precios!$B$2:$B$20,MATCH(D4,Precios!$A$2:$A$20,0)),0)),IF(E4="",0,IFERROR(INDEX(Precios!$B$2:$B$20,MATCH(E4,Precios!$A$2:$A$20,0)),0)),IF(F4="",0,IFERROR(INDEX(Precios!$B$2:$B$20,MATCH(F4,Precios!$A$2:$A$20,0)),0)))</f>
        <v>17000</v>
      </c>
      <c r="H4" s="6">
        <f t="shared" si="1"/>
        <v>21675</v>
      </c>
      <c r="I4" s="2" t="s">
        <v>36</v>
      </c>
    </row>
    <row r="5">
      <c r="A5" s="3">
        <v>4.0</v>
      </c>
      <c r="B5" s="3" t="s">
        <v>14</v>
      </c>
      <c r="C5" s="3" t="s">
        <v>25</v>
      </c>
      <c r="D5" s="3"/>
      <c r="E5" s="3"/>
      <c r="F5" s="3"/>
      <c r="G5" s="5">
        <f t="array" ref="G5">SUM(IF(B5="",0,IFERROR(INDEX(Precios!$B$2:$B$20,MATCH(B5,Precios!$A$2:$A$20,0)),0)),IF(C5="",0,IFERROR(INDEX(Precios!$B$2:$B$20,MATCH(C5,Precios!$A$2:$A$20,0)),0)),IF(D5="",0,IFERROR(INDEX(Precios!$B$2:$B$20,MATCH(D5,Precios!$A$2:$A$20,0)),0)),IF(E5="",0,IFERROR(INDEX(Precios!$B$2:$B$20,MATCH(E5,Precios!$A$2:$A$20,0)),0)),IF(F5="",0,IFERROR(INDEX(Precios!$B$2:$B$20,MATCH(F5,Precios!$A$2:$A$20,0)),0)))</f>
        <v>17000</v>
      </c>
      <c r="H5" s="6">
        <f t="shared" si="1"/>
        <v>21675</v>
      </c>
      <c r="I5" s="2" t="s">
        <v>36</v>
      </c>
    </row>
    <row r="6">
      <c r="A6" s="3">
        <v>5.0</v>
      </c>
      <c r="B6" s="3" t="s">
        <v>14</v>
      </c>
      <c r="C6" s="3" t="s">
        <v>23</v>
      </c>
      <c r="D6" s="3"/>
      <c r="E6" s="3"/>
      <c r="F6" s="3"/>
      <c r="G6" s="5">
        <f t="array" ref="G6">SUM(IF(B6="",0,IFERROR(INDEX(Precios!$B$2:$B$20,MATCH(B6,Precios!$A$2:$A$20,0)),0)),IF(C6="",0,IFERROR(INDEX(Precios!$B$2:$B$20,MATCH(C6,Precios!$A$2:$A$20,0)),0)),IF(D6="",0,IFERROR(INDEX(Precios!$B$2:$B$20,MATCH(D6,Precios!$A$2:$A$20,0)),0)),IF(E6="",0,IFERROR(INDEX(Precios!$B$2:$B$20,MATCH(E6,Precios!$A$2:$A$20,0)),0)),IF(F6="",0,IFERROR(INDEX(Precios!$B$2:$B$20,MATCH(F6,Precios!$A$2:$A$20,0)),0)))</f>
        <v>23000</v>
      </c>
      <c r="H6" s="6">
        <f t="shared" si="1"/>
        <v>29325</v>
      </c>
      <c r="I6" s="2" t="s">
        <v>16</v>
      </c>
    </row>
    <row r="7">
      <c r="A7" s="3">
        <v>6.0</v>
      </c>
      <c r="B7" s="3" t="s">
        <v>15</v>
      </c>
      <c r="C7" s="3" t="s">
        <v>21</v>
      </c>
      <c r="D7" s="3"/>
      <c r="E7" s="3"/>
      <c r="F7" s="3"/>
      <c r="G7" s="5">
        <f t="array" ref="G7">SUM(IF(B7="",0,IFERROR(INDEX(Precios!$B$2:$B$20,MATCH(B7,Precios!$A$2:$A$20,0)),0)),IF(C7="",0,IFERROR(INDEX(Precios!$B$2:$B$20,MATCH(C7,Precios!$A$2:$A$20,0)),0)),IF(D7="",0,IFERROR(INDEX(Precios!$B$2:$B$20,MATCH(D7,Precios!$A$2:$A$20,0)),0)),IF(E7="",0,IFERROR(INDEX(Precios!$B$2:$B$20,MATCH(E7,Precios!$A$2:$A$20,0)),0)),IF(F7="",0,IFERROR(INDEX(Precios!$B$2:$B$20,MATCH(F7,Precios!$A$2:$A$20,0)),0)))</f>
        <v>17000</v>
      </c>
      <c r="H7" s="6">
        <f t="shared" si="1"/>
        <v>21675</v>
      </c>
      <c r="I7" s="2" t="s">
        <v>36</v>
      </c>
    </row>
    <row r="8">
      <c r="A8" s="3">
        <v>7.0</v>
      </c>
      <c r="B8" s="3" t="s">
        <v>15</v>
      </c>
      <c r="C8" s="3" t="s">
        <v>19</v>
      </c>
      <c r="D8" s="3"/>
      <c r="E8" s="3"/>
      <c r="F8" s="3"/>
      <c r="G8" s="5">
        <f t="array" ref="G8">SUM(IF(B8="",0,IFERROR(INDEX(Precios!$B$2:$B$20,MATCH(B8,Precios!$A$2:$A$20,0)),0)),IF(C8="",0,IFERROR(INDEX(Precios!$B$2:$B$20,MATCH(C8,Precios!$A$2:$A$20,0)),0)),IF(D8="",0,IFERROR(INDEX(Precios!$B$2:$B$20,MATCH(D8,Precios!$A$2:$A$20,0)),0)),IF(E8="",0,IFERROR(INDEX(Precios!$B$2:$B$20,MATCH(E8,Precios!$A$2:$A$20,0)),0)),IF(F8="",0,IFERROR(INDEX(Precios!$B$2:$B$20,MATCH(F8,Precios!$A$2:$A$20,0)),0)))</f>
        <v>16000</v>
      </c>
      <c r="H8" s="6">
        <f t="shared" si="1"/>
        <v>20400</v>
      </c>
      <c r="I8" s="2" t="s">
        <v>44</v>
      </c>
    </row>
    <row r="9">
      <c r="A9" s="3">
        <v>8.0</v>
      </c>
      <c r="B9" s="3" t="s">
        <v>15</v>
      </c>
      <c r="C9" s="3" t="s">
        <v>23</v>
      </c>
      <c r="D9" s="3"/>
      <c r="E9" s="3"/>
      <c r="F9" s="3"/>
      <c r="G9" s="5">
        <f t="array" ref="G9">SUM(IF(B9="",0,IFERROR(INDEX(Precios!$B$2:$B$20,MATCH(B9,Precios!$A$2:$A$20,0)),0)),IF(C9="",0,IFERROR(INDEX(Precios!$B$2:$B$20,MATCH(C9,Precios!$A$2:$A$20,0)),0)),IF(D9="",0,IFERROR(INDEX(Precios!$B$2:$B$20,MATCH(D9,Precios!$A$2:$A$20,0)),0)),IF(E9="",0,IFERROR(INDEX(Precios!$B$2:$B$20,MATCH(E9,Precios!$A$2:$A$20,0)),0)),IF(F9="",0,IFERROR(INDEX(Precios!$B$2:$B$20,MATCH(F9,Precios!$A$2:$A$20,0)),0)))</f>
        <v>22000</v>
      </c>
      <c r="H9" s="6">
        <f t="shared" si="1"/>
        <v>28050</v>
      </c>
      <c r="I9" s="2" t="s">
        <v>45</v>
      </c>
    </row>
    <row r="10">
      <c r="A10" s="3">
        <v>9.0</v>
      </c>
      <c r="B10" s="3" t="s">
        <v>21</v>
      </c>
      <c r="C10" s="3" t="s">
        <v>19</v>
      </c>
      <c r="D10" s="3"/>
      <c r="E10" s="3"/>
      <c r="F10" s="3"/>
      <c r="G10" s="5">
        <f t="array" ref="G10">SUM(IF(B10="",0,IFERROR(INDEX(Precios!$B$2:$B$20,MATCH(B10,Precios!$A$2:$A$20,0)),0)),IF(C10="",0,IFERROR(INDEX(Precios!$B$2:$B$20,MATCH(C10,Precios!$A$2:$A$20,0)),0)),IF(D10="",0,IFERROR(INDEX(Precios!$B$2:$B$20,MATCH(D10,Precios!$A$2:$A$20,0)),0)),IF(E10="",0,IFERROR(INDEX(Precios!$B$2:$B$20,MATCH(E10,Precios!$A$2:$A$20,0)),0)),IF(F10="",0,IFERROR(INDEX(Precios!$B$2:$B$20,MATCH(F10,Precios!$A$2:$A$20,0)),0)))</f>
        <v>9000</v>
      </c>
      <c r="H10" s="6">
        <f t="shared" si="1"/>
        <v>11475</v>
      </c>
      <c r="I10" s="2" t="s">
        <v>46</v>
      </c>
    </row>
    <row r="11">
      <c r="A11" s="3">
        <v>10.0</v>
      </c>
      <c r="B11" s="3" t="s">
        <v>21</v>
      </c>
      <c r="C11" s="3" t="s">
        <v>23</v>
      </c>
      <c r="D11" s="3"/>
      <c r="E11" s="3"/>
      <c r="F11" s="3"/>
      <c r="G11" s="5">
        <f t="array" ref="G11">SUM(IF(B11="",0,IFERROR(INDEX(Precios!$B$2:$B$20,MATCH(B11,Precios!$A$2:$A$20,0)),0)),IF(C11="",0,IFERROR(INDEX(Precios!$B$2:$B$20,MATCH(C11,Precios!$A$2:$A$20,0)),0)),IF(D11="",0,IFERROR(INDEX(Precios!$B$2:$B$20,MATCH(D11,Precios!$A$2:$A$20,0)),0)),IF(E11="",0,IFERROR(INDEX(Precios!$B$2:$B$20,MATCH(E11,Precios!$A$2:$A$20,0)),0)),IF(F11="",0,IFERROR(INDEX(Precios!$B$2:$B$20,MATCH(F11,Precios!$A$2:$A$20,0)),0)))</f>
        <v>15000</v>
      </c>
      <c r="H11" s="6">
        <f t="shared" si="1"/>
        <v>19125</v>
      </c>
      <c r="I11" s="2" t="s">
        <v>47</v>
      </c>
    </row>
    <row r="12">
      <c r="A12" s="3">
        <v>11.0</v>
      </c>
      <c r="B12" s="3" t="s">
        <v>19</v>
      </c>
      <c r="C12" s="3" t="s">
        <v>25</v>
      </c>
      <c r="D12" s="3"/>
      <c r="E12" s="3"/>
      <c r="F12" s="3"/>
      <c r="G12" s="5">
        <f t="array" ref="G12">SUM(IF(B12="",0,IFERROR(INDEX(Precios!$B$2:$B$20,MATCH(B12,Precios!$A$2:$A$20,0)),0)),IF(C12="",0,IFERROR(INDEX(Precios!$B$2:$B$20,MATCH(C12,Precios!$A$2:$A$20,0)),0)),IF(D12="",0,IFERROR(INDEX(Precios!$B$2:$B$20,MATCH(D12,Precios!$A$2:$A$20,0)),0)),IF(E12="",0,IFERROR(INDEX(Precios!$B$2:$B$20,MATCH(E12,Precios!$A$2:$A$20,0)),0)),IF(F12="",0,IFERROR(INDEX(Precios!$B$2:$B$20,MATCH(F12,Precios!$A$2:$A$20,0)),0)))</f>
        <v>8000</v>
      </c>
      <c r="H12" s="6">
        <f t="shared" si="1"/>
        <v>10200</v>
      </c>
      <c r="I12" s="2" t="s">
        <v>22</v>
      </c>
    </row>
    <row r="13">
      <c r="A13" s="3">
        <v>12.0</v>
      </c>
      <c r="B13" s="3" t="s">
        <v>14</v>
      </c>
      <c r="C13" s="3" t="s">
        <v>15</v>
      </c>
      <c r="D13" s="3" t="s">
        <v>21</v>
      </c>
      <c r="E13" s="3"/>
      <c r="F13" s="3"/>
      <c r="G13" s="5">
        <f t="array" ref="G13">SUM(IF(B13="",0,IFERROR(INDEX(Precios!$B$2:$B$20,MATCH(B13,Precios!$A$2:$A$20,0)),0)),IF(C13="",0,IFERROR(INDEX(Precios!$B$2:$B$20,MATCH(C13,Precios!$A$2:$A$20,0)),0)),IF(D13="",0,IFERROR(INDEX(Precios!$B$2:$B$20,MATCH(D13,Precios!$A$2:$A$20,0)),0)),IF(E13="",0,IFERROR(INDEX(Precios!$B$2:$B$20,MATCH(E13,Precios!$A$2:$A$20,0)),0)),IF(F13="",0,IFERROR(INDEX(Precios!$B$2:$B$20,MATCH(F13,Precios!$A$2:$A$20,0)),0)))</f>
        <v>30000</v>
      </c>
      <c r="H13" s="6">
        <f t="shared" si="1"/>
        <v>38250</v>
      </c>
      <c r="I13" s="2" t="s">
        <v>48</v>
      </c>
    </row>
    <row r="14">
      <c r="A14" s="3">
        <v>13.0</v>
      </c>
      <c r="B14" s="3" t="s">
        <v>14</v>
      </c>
      <c r="C14" s="3" t="s">
        <v>15</v>
      </c>
      <c r="D14" s="3" t="s">
        <v>19</v>
      </c>
      <c r="E14" s="3"/>
      <c r="F14" s="3"/>
      <c r="G14" s="5">
        <f t="array" ref="G14">SUM(IF(B14="",0,IFERROR(INDEX(Precios!$B$2:$B$20,MATCH(B14,Precios!$A$2:$A$20,0)),0)),IF(C14="",0,IFERROR(INDEX(Precios!$B$2:$B$20,MATCH(C14,Precios!$A$2:$A$20,0)),0)),IF(D14="",0,IFERROR(INDEX(Precios!$B$2:$B$20,MATCH(D14,Precios!$A$2:$A$20,0)),0)),IF(E14="",0,IFERROR(INDEX(Precios!$B$2:$B$20,MATCH(E14,Precios!$A$2:$A$20,0)),0)),IF(F14="",0,IFERROR(INDEX(Precios!$B$2:$B$20,MATCH(F14,Precios!$A$2:$A$20,0)),0)))</f>
        <v>29000</v>
      </c>
      <c r="H14" s="6">
        <f t="shared" si="1"/>
        <v>36975</v>
      </c>
      <c r="I14" s="2" t="s">
        <v>49</v>
      </c>
    </row>
    <row r="15">
      <c r="A15" s="3">
        <v>14.0</v>
      </c>
      <c r="B15" s="3" t="s">
        <v>14</v>
      </c>
      <c r="C15" s="3" t="s">
        <v>15</v>
      </c>
      <c r="D15" s="3" t="s">
        <v>25</v>
      </c>
      <c r="E15" s="3"/>
      <c r="F15" s="3"/>
      <c r="G15" s="5">
        <f t="array" ref="G15">SUM(IF(B15="",0,IFERROR(INDEX(Precios!$B$2:$B$20,MATCH(B15,Precios!$A$2:$A$20,0)),0)),IF(C15="",0,IFERROR(INDEX(Precios!$B$2:$B$20,MATCH(C15,Precios!$A$2:$A$20,0)),0)),IF(D15="",0,IFERROR(INDEX(Precios!$B$2:$B$20,MATCH(D15,Precios!$A$2:$A$20,0)),0)),IF(E15="",0,IFERROR(INDEX(Precios!$B$2:$B$20,MATCH(E15,Precios!$A$2:$A$20,0)),0)),IF(F15="",0,IFERROR(INDEX(Precios!$B$2:$B$20,MATCH(F15,Precios!$A$2:$A$20,0)),0)))</f>
        <v>29000</v>
      </c>
      <c r="H15" s="6">
        <f t="shared" si="1"/>
        <v>36975</v>
      </c>
      <c r="I15" s="2" t="s">
        <v>49</v>
      </c>
    </row>
    <row r="16">
      <c r="A16" s="3">
        <v>15.0</v>
      </c>
      <c r="B16" s="3" t="s">
        <v>14</v>
      </c>
      <c r="C16" s="3" t="s">
        <v>21</v>
      </c>
      <c r="D16" s="3" t="s">
        <v>19</v>
      </c>
      <c r="E16" s="3"/>
      <c r="F16" s="3"/>
      <c r="G16" s="5">
        <f t="array" ref="G16">SUM(IF(B16="",0,IFERROR(INDEX(Precios!$B$2:$B$20,MATCH(B16,Precios!$A$2:$A$20,0)),0)),IF(C16="",0,IFERROR(INDEX(Precios!$B$2:$B$20,MATCH(C16,Precios!$A$2:$A$20,0)),0)),IF(D16="",0,IFERROR(INDEX(Precios!$B$2:$B$20,MATCH(D16,Precios!$A$2:$A$20,0)),0)),IF(E16="",0,IFERROR(INDEX(Precios!$B$2:$B$20,MATCH(E16,Precios!$A$2:$A$20,0)),0)),IF(F16="",0,IFERROR(INDEX(Precios!$B$2:$B$20,MATCH(F16,Precios!$A$2:$A$20,0)),0)))</f>
        <v>22000</v>
      </c>
      <c r="H16" s="6">
        <f t="shared" si="1"/>
        <v>28050</v>
      </c>
      <c r="I16" s="2" t="s">
        <v>50</v>
      </c>
    </row>
    <row r="17">
      <c r="A17" s="3">
        <v>16.0</v>
      </c>
      <c r="B17" s="3" t="s">
        <v>14</v>
      </c>
      <c r="C17" s="3" t="s">
        <v>21</v>
      </c>
      <c r="D17" s="3" t="s">
        <v>25</v>
      </c>
      <c r="E17" s="3"/>
      <c r="F17" s="3"/>
      <c r="G17" s="5">
        <f t="array" ref="G17">SUM(IF(B17="",0,IFERROR(INDEX(Precios!$B$2:$B$20,MATCH(B17,Precios!$A$2:$A$20,0)),0)),IF(C17="",0,IFERROR(INDEX(Precios!$B$2:$B$20,MATCH(C17,Precios!$A$2:$A$20,0)),0)),IF(D17="",0,IFERROR(INDEX(Precios!$B$2:$B$20,MATCH(D17,Precios!$A$2:$A$20,0)),0)),IF(E17="",0,IFERROR(INDEX(Precios!$B$2:$B$20,MATCH(E17,Precios!$A$2:$A$20,0)),0)),IF(F17="",0,IFERROR(INDEX(Precios!$B$2:$B$20,MATCH(F17,Precios!$A$2:$A$20,0)),0)))</f>
        <v>22000</v>
      </c>
      <c r="H17" s="6">
        <f t="shared" si="1"/>
        <v>28050</v>
      </c>
      <c r="I17" s="2" t="s">
        <v>50</v>
      </c>
    </row>
    <row r="18">
      <c r="A18" s="3">
        <v>17.0</v>
      </c>
      <c r="B18" s="3" t="s">
        <v>14</v>
      </c>
      <c r="C18" s="3" t="s">
        <v>21</v>
      </c>
      <c r="D18" s="3" t="s">
        <v>23</v>
      </c>
      <c r="E18" s="3"/>
      <c r="F18" s="3"/>
      <c r="G18" s="5">
        <f t="array" ref="G18">SUM(IF(B18="",0,IFERROR(INDEX(Precios!$B$2:$B$20,MATCH(B18,Precios!$A$2:$A$20,0)),0)),IF(C18="",0,IFERROR(INDEX(Precios!$B$2:$B$20,MATCH(C18,Precios!$A$2:$A$20,0)),0)),IF(D18="",0,IFERROR(INDEX(Precios!$B$2:$B$20,MATCH(D18,Precios!$A$2:$A$20,0)),0)),IF(E18="",0,IFERROR(INDEX(Precios!$B$2:$B$20,MATCH(E18,Precios!$A$2:$A$20,0)),0)),IF(F18="",0,IFERROR(INDEX(Precios!$B$2:$B$20,MATCH(F18,Precios!$A$2:$A$20,0)),0)))</f>
        <v>28000</v>
      </c>
      <c r="H18" s="6">
        <f t="shared" si="1"/>
        <v>35700</v>
      </c>
      <c r="I18" s="2" t="s">
        <v>51</v>
      </c>
    </row>
    <row r="19">
      <c r="A19" s="3">
        <v>18.0</v>
      </c>
      <c r="B19" s="3" t="s">
        <v>15</v>
      </c>
      <c r="C19" s="3" t="s">
        <v>21</v>
      </c>
      <c r="D19" s="3" t="s">
        <v>19</v>
      </c>
      <c r="E19" s="3"/>
      <c r="F19" s="3"/>
      <c r="G19" s="5">
        <f t="array" ref="G19">SUM(IF(B19="",0,IFERROR(INDEX(Precios!$B$2:$B$20,MATCH(B19,Precios!$A$2:$A$20,0)),0)),IF(C19="",0,IFERROR(INDEX(Precios!$B$2:$B$20,MATCH(C19,Precios!$A$2:$A$20,0)),0)),IF(D19="",0,IFERROR(INDEX(Precios!$B$2:$B$20,MATCH(D19,Precios!$A$2:$A$20,0)),0)),IF(E19="",0,IFERROR(INDEX(Precios!$B$2:$B$20,MATCH(E19,Precios!$A$2:$A$20,0)),0)),IF(F19="",0,IFERROR(INDEX(Precios!$B$2:$B$20,MATCH(F19,Precios!$A$2:$A$20,0)),0)))</f>
        <v>21000</v>
      </c>
      <c r="H19" s="6">
        <f t="shared" si="1"/>
        <v>26775</v>
      </c>
      <c r="I19" s="2" t="s">
        <v>52</v>
      </c>
    </row>
    <row r="20">
      <c r="A20" s="3">
        <v>19.0</v>
      </c>
      <c r="B20" s="3" t="s">
        <v>15</v>
      </c>
      <c r="C20" s="3" t="s">
        <v>21</v>
      </c>
      <c r="D20" s="3" t="s">
        <v>25</v>
      </c>
      <c r="E20" s="3"/>
      <c r="F20" s="3"/>
      <c r="G20" s="5">
        <f t="array" ref="G20">SUM(IF(B20="",0,IFERROR(INDEX(Precios!$B$2:$B$20,MATCH(B20,Precios!$A$2:$A$20,0)),0)),IF(C20="",0,IFERROR(INDEX(Precios!$B$2:$B$20,MATCH(C20,Precios!$A$2:$A$20,0)),0)),IF(D20="",0,IFERROR(INDEX(Precios!$B$2:$B$20,MATCH(D20,Precios!$A$2:$A$20,0)),0)),IF(E20="",0,IFERROR(INDEX(Precios!$B$2:$B$20,MATCH(E20,Precios!$A$2:$A$20,0)),0)),IF(F20="",0,IFERROR(INDEX(Precios!$B$2:$B$20,MATCH(F20,Precios!$A$2:$A$20,0)),0)))</f>
        <v>21000</v>
      </c>
      <c r="H20" s="6">
        <f t="shared" si="1"/>
        <v>26775</v>
      </c>
      <c r="I20" s="2" t="s">
        <v>52</v>
      </c>
    </row>
    <row r="21" ht="15.75" customHeight="1">
      <c r="A21" s="3">
        <v>20.0</v>
      </c>
      <c r="B21" s="3" t="s">
        <v>15</v>
      </c>
      <c r="C21" s="3" t="s">
        <v>19</v>
      </c>
      <c r="D21" s="3" t="s">
        <v>27</v>
      </c>
      <c r="E21" s="3"/>
      <c r="F21" s="3"/>
      <c r="G21" s="5">
        <f t="array" ref="G21">SUM(IF(B21="",0,IFERROR(INDEX(Precios!$B$2:$B$20,MATCH(B21,Precios!$A$2:$A$20,0)),0)),IF(C21="",0,IFERROR(INDEX(Precios!$B$2:$B$20,MATCH(C21,Precios!$A$2:$A$20,0)),0)),IF(D21="",0,IFERROR(INDEX(Precios!$B$2:$B$20,MATCH(D21,Precios!$A$2:$A$20,0)),0)),IF(E21="",0,IFERROR(INDEX(Precios!$B$2:$B$20,MATCH(E21,Precios!$A$2:$A$20,0)),0)),IF(F21="",0,IFERROR(INDEX(Precios!$B$2:$B$20,MATCH(F21,Precios!$A$2:$A$20,0)),0)))</f>
        <v>22000</v>
      </c>
      <c r="H21" s="6">
        <f t="shared" si="1"/>
        <v>28050</v>
      </c>
      <c r="I21" s="2" t="s">
        <v>16</v>
      </c>
    </row>
    <row r="22" ht="15.75" customHeight="1">
      <c r="A22" s="3">
        <v>21.0</v>
      </c>
      <c r="B22" s="3" t="s">
        <v>19</v>
      </c>
      <c r="C22" s="3" t="s">
        <v>27</v>
      </c>
      <c r="D22" s="3" t="s">
        <v>21</v>
      </c>
      <c r="E22" s="3"/>
      <c r="F22" s="3"/>
      <c r="G22" s="5">
        <f t="array" ref="G22">SUM(IF(B22="",0,IFERROR(INDEX(Precios!$B$2:$B$20,MATCH(B22,Precios!$A$2:$A$20,0)),0)),IF(C22="",0,IFERROR(INDEX(Precios!$B$2:$B$20,MATCH(C22,Precios!$A$2:$A$20,0)),0)),IF(D22="",0,IFERROR(INDEX(Precios!$B$2:$B$20,MATCH(D22,Precios!$A$2:$A$20,0)),0)),IF(E22="",0,IFERROR(INDEX(Precios!$B$2:$B$20,MATCH(E22,Precios!$A$2:$A$20,0)),0)),IF(F22="",0,IFERROR(INDEX(Precios!$B$2:$B$20,MATCH(F22,Precios!$A$2:$A$20,0)),0)))</f>
        <v>15000</v>
      </c>
      <c r="H22" s="6">
        <f t="shared" si="1"/>
        <v>19125</v>
      </c>
      <c r="I22" s="2" t="s">
        <v>44</v>
      </c>
    </row>
    <row r="23" ht="15.75" customHeight="1">
      <c r="A23" s="3">
        <v>22.0</v>
      </c>
      <c r="B23" s="3" t="s">
        <v>14</v>
      </c>
      <c r="C23" s="3" t="s">
        <v>15</v>
      </c>
      <c r="D23" s="3" t="s">
        <v>19</v>
      </c>
      <c r="E23" s="3" t="s">
        <v>21</v>
      </c>
      <c r="F23" s="3"/>
      <c r="G23" s="5">
        <f t="array" ref="G23">SUM(IF(B23="",0,IFERROR(INDEX(Precios!$B$2:$B$20,MATCH(B23,Precios!$A$2:$A$20,0)),0)),IF(C23="",0,IFERROR(INDEX(Precios!$B$2:$B$20,MATCH(C23,Precios!$A$2:$A$20,0)),0)),IF(D23="",0,IFERROR(INDEX(Precios!$B$2:$B$20,MATCH(D23,Precios!$A$2:$A$20,0)),0)),IF(E23="",0,IFERROR(INDEX(Precios!$B$2:$B$20,MATCH(E23,Precios!$A$2:$A$20,0)),0)),IF(F23="",0,IFERROR(INDEX(Precios!$B$2:$B$20,MATCH(F23,Precios!$A$2:$A$20,0)),0)))</f>
        <v>34000</v>
      </c>
      <c r="H23" s="6">
        <f t="shared" si="1"/>
        <v>43350</v>
      </c>
      <c r="I23" s="2" t="s">
        <v>53</v>
      </c>
    </row>
    <row r="24" ht="15.75" customHeight="1">
      <c r="A24" s="3">
        <v>23.0</v>
      </c>
      <c r="B24" s="3" t="s">
        <v>14</v>
      </c>
      <c r="C24" s="3" t="s">
        <v>15</v>
      </c>
      <c r="D24" s="3" t="s">
        <v>19</v>
      </c>
      <c r="E24" s="3" t="s">
        <v>27</v>
      </c>
      <c r="F24" s="3"/>
      <c r="G24" s="5">
        <f t="array" ref="G24">SUM(IF(B24="",0,IFERROR(INDEX(Precios!$B$2:$B$20,MATCH(B24,Precios!$A$2:$A$20,0)),0)),IF(C24="",0,IFERROR(INDEX(Precios!$B$2:$B$20,MATCH(C24,Precios!$A$2:$A$20,0)),0)),IF(D24="",0,IFERROR(INDEX(Precios!$B$2:$B$20,MATCH(D24,Precios!$A$2:$A$20,0)),0)),IF(E24="",0,IFERROR(INDEX(Precios!$B$2:$B$20,MATCH(E24,Precios!$A$2:$A$20,0)),0)),IF(F24="",0,IFERROR(INDEX(Precios!$B$2:$B$20,MATCH(F24,Precios!$A$2:$A$20,0)),0)))</f>
        <v>35000</v>
      </c>
      <c r="H24" s="6">
        <f t="shared" si="1"/>
        <v>44625</v>
      </c>
      <c r="I24" s="2" t="s">
        <v>54</v>
      </c>
    </row>
    <row r="25" ht="15.75" customHeight="1">
      <c r="A25" s="3">
        <v>24.0</v>
      </c>
      <c r="B25" s="3" t="s">
        <v>14</v>
      </c>
      <c r="C25" s="3" t="s">
        <v>21</v>
      </c>
      <c r="D25" s="3" t="s">
        <v>19</v>
      </c>
      <c r="E25" s="3" t="s">
        <v>23</v>
      </c>
      <c r="F25" s="3"/>
      <c r="G25" s="5">
        <f t="array" ref="G25">SUM(IF(B25="",0,IFERROR(INDEX(Precios!$B$2:$B$20,MATCH(B25,Precios!$A$2:$A$20,0)),0)),IF(C25="",0,IFERROR(INDEX(Precios!$B$2:$B$20,MATCH(C25,Precios!$A$2:$A$20,0)),0)),IF(D25="",0,IFERROR(INDEX(Precios!$B$2:$B$20,MATCH(D25,Precios!$A$2:$A$20,0)),0)),IF(E25="",0,IFERROR(INDEX(Precios!$B$2:$B$20,MATCH(E25,Precios!$A$2:$A$20,0)),0)),IF(F25="",0,IFERROR(INDEX(Precios!$B$2:$B$20,MATCH(F25,Precios!$A$2:$A$20,0)),0)))</f>
        <v>32000</v>
      </c>
      <c r="H25" s="6">
        <f t="shared" si="1"/>
        <v>40800</v>
      </c>
      <c r="I25" s="2" t="s">
        <v>55</v>
      </c>
    </row>
    <row r="26" ht="15.75" customHeight="1">
      <c r="A26" s="3">
        <v>25.0</v>
      </c>
      <c r="B26" s="3" t="s">
        <v>21</v>
      </c>
      <c r="C26" s="3" t="s">
        <v>15</v>
      </c>
      <c r="D26" s="3" t="s">
        <v>27</v>
      </c>
      <c r="E26" s="3" t="s">
        <v>23</v>
      </c>
      <c r="F26" s="3"/>
      <c r="G26" s="5">
        <f t="array" ref="G26">SUM(IF(B26="",0,IFERROR(INDEX(Precios!$B$2:$B$20,MATCH(B26,Precios!$A$2:$A$20,0)),0)),IF(C26="",0,IFERROR(INDEX(Precios!$B$2:$B$20,MATCH(C26,Precios!$A$2:$A$20,0)),0)),IF(D26="",0,IFERROR(INDEX(Precios!$B$2:$B$20,MATCH(D26,Precios!$A$2:$A$20,0)),0)),IF(E26="",0,IFERROR(INDEX(Precios!$B$2:$B$20,MATCH(E26,Precios!$A$2:$A$20,0)),0)),IF(F26="",0,IFERROR(INDEX(Precios!$B$2:$B$20,MATCH(F26,Precios!$A$2:$A$20,0)),0)))</f>
        <v>33000</v>
      </c>
      <c r="H26" s="6">
        <f t="shared" si="1"/>
        <v>42075</v>
      </c>
      <c r="I26" s="2" t="s">
        <v>53</v>
      </c>
    </row>
    <row r="27" ht="15.75" customHeight="1">
      <c r="A27" s="3">
        <v>26.0</v>
      </c>
      <c r="B27" s="3" t="s">
        <v>15</v>
      </c>
      <c r="C27" s="3" t="s">
        <v>19</v>
      </c>
      <c r="D27" s="3" t="s">
        <v>21</v>
      </c>
      <c r="E27" s="3" t="s">
        <v>25</v>
      </c>
      <c r="F27" s="3"/>
      <c r="G27" s="5">
        <f t="array" ref="G27">SUM(IF(B27="",0,IFERROR(INDEX(Precios!$B$2:$B$20,MATCH(B27,Precios!$A$2:$A$20,0)),0)),IF(C27="",0,IFERROR(INDEX(Precios!$B$2:$B$20,MATCH(C27,Precios!$A$2:$A$20,0)),0)),IF(D27="",0,IFERROR(INDEX(Precios!$B$2:$B$20,MATCH(D27,Precios!$A$2:$A$20,0)),0)),IF(E27="",0,IFERROR(INDEX(Precios!$B$2:$B$20,MATCH(E27,Precios!$A$2:$A$20,0)),0)),IF(F27="",0,IFERROR(INDEX(Precios!$B$2:$B$20,MATCH(F27,Precios!$A$2:$A$20,0)),0)))</f>
        <v>25000</v>
      </c>
      <c r="H27" s="6">
        <f t="shared" si="1"/>
        <v>31875</v>
      </c>
      <c r="I27" s="2" t="s">
        <v>51</v>
      </c>
    </row>
    <row r="28" ht="15.75" customHeight="1">
      <c r="A28" s="3">
        <v>27.0</v>
      </c>
      <c r="B28" s="3" t="s">
        <v>19</v>
      </c>
      <c r="C28" s="3" t="s">
        <v>27</v>
      </c>
      <c r="D28" s="3" t="s">
        <v>21</v>
      </c>
      <c r="E28" s="3" t="s">
        <v>23</v>
      </c>
      <c r="F28" s="3"/>
      <c r="G28" s="5">
        <f t="array" ref="G28">SUM(IF(B28="",0,IFERROR(INDEX(Precios!$B$2:$B$20,MATCH(B28,Precios!$A$2:$A$20,0)),0)),IF(C28="",0,IFERROR(INDEX(Precios!$B$2:$B$20,MATCH(C28,Precios!$A$2:$A$20,0)),0)),IF(D28="",0,IFERROR(INDEX(Precios!$B$2:$B$20,MATCH(D28,Precios!$A$2:$A$20,0)),0)),IF(E28="",0,IFERROR(INDEX(Precios!$B$2:$B$20,MATCH(E28,Precios!$A$2:$A$20,0)),0)),IF(F28="",0,IFERROR(INDEX(Precios!$B$2:$B$20,MATCH(F28,Precios!$A$2:$A$20,0)),0)))</f>
        <v>25000</v>
      </c>
      <c r="H28" s="6">
        <f t="shared" si="1"/>
        <v>31875</v>
      </c>
      <c r="I28" s="2" t="s">
        <v>51</v>
      </c>
    </row>
    <row r="29" ht="15.75" customHeight="1">
      <c r="A29" s="3">
        <v>28.0</v>
      </c>
      <c r="B29" s="3" t="s">
        <v>14</v>
      </c>
      <c r="C29" s="3" t="s">
        <v>21</v>
      </c>
      <c r="D29" s="3" t="s">
        <v>23</v>
      </c>
      <c r="E29" s="3" t="s">
        <v>27</v>
      </c>
      <c r="F29" s="3" t="s">
        <v>19</v>
      </c>
      <c r="G29" s="5">
        <f t="array" ref="G29">SUM(IF(B29="",0,IFERROR(INDEX(Precios!$B$2:$B$20,MATCH(B29,Precios!$A$2:$A$20,0)),0)),IF(C29="",0,IFERROR(INDEX(Precios!$B$2:$B$20,MATCH(C29,Precios!$A$2:$A$20,0)),0)),IF(D29="",0,IFERROR(INDEX(Precios!$B$2:$B$20,MATCH(D29,Precios!$A$2:$A$20,0)),0)),IF(E29="",0,IFERROR(INDEX(Precios!$B$2:$B$20,MATCH(E29,Precios!$A$2:$A$20,0)),0)),IF(F29="",0,IFERROR(INDEX(Precios!$B$2:$B$20,MATCH(F29,Precios!$A$2:$A$20,0)),0)))</f>
        <v>38000</v>
      </c>
      <c r="H29" s="6">
        <f t="shared" si="1"/>
        <v>48450</v>
      </c>
      <c r="I29" s="2" t="s">
        <v>32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2026-09-04T23:32:43Z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